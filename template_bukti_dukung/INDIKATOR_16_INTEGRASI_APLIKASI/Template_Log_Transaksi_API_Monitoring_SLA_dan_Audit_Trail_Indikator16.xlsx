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Transaksi_API_Harian" sheetId="1" state="visible" r:id="rId1"/>
    <sheet xmlns:r="http://schemas.openxmlformats.org/officeDocument/2006/relationships" name="Dashboard_SLA_Performa_Sistem" sheetId="2" state="visible" r:id="rId2"/>
    <sheet xmlns:r="http://schemas.openxmlformats.org/officeDocument/2006/relationships" name="Evaluasi_Zero_Duplikasi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DEDEC"/>
        <bgColor rgb="00FDEDEC"/>
      </patternFill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4" fillId="6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20" customWidth="1" min="2" max="2"/>
    <col width="22" customWidth="1" min="3" max="3"/>
    <col width="24" customWidth="1" min="4" max="4"/>
    <col width="43" customWidth="1" min="5" max="5"/>
    <col width="14" customWidth="1" min="6" max="6"/>
    <col width="14" customWidth="1" min="7" max="7"/>
    <col width="21" customWidth="1" min="8" max="8"/>
    <col width="15" customWidth="1" min="9" max="9"/>
    <col width="19" customWidth="1" min="10" max="10"/>
    <col width="37" customWidth="1" min="11" max="11"/>
  </cols>
  <sheetData>
    <row r="1">
      <c r="A1" s="1" t="inlineStr">
        <is>
          <t>LOG AUDIT TRAIL TRANSAKSI INTEGRASI API REAL-TIME (SAMPEL LOG AKTIF)</t>
        </is>
      </c>
    </row>
    <row r="2"/>
    <row r="3">
      <c r="A3" s="2" t="inlineStr">
        <is>
          <t>No</t>
        </is>
      </c>
      <c r="B3" s="2" t="inlineStr">
        <is>
          <t>Transaction ID</t>
        </is>
      </c>
      <c r="C3" s="2" t="inlineStr">
        <is>
          <t>Timestamp (WIB)</t>
        </is>
      </c>
      <c r="D3" s="2" t="inlineStr">
        <is>
          <t>Consumer OPD / Sistem</t>
        </is>
      </c>
      <c r="E3" s="2" t="inlineStr">
        <is>
          <t>API Endpoint Path</t>
        </is>
      </c>
      <c r="F3" s="2" t="inlineStr">
        <is>
          <t>HTTP Method</t>
        </is>
      </c>
      <c r="G3" s="2" t="inlineStr">
        <is>
          <t>Status Code</t>
        </is>
      </c>
      <c r="H3" s="2" t="inlineStr">
        <is>
          <t>Response Time (ms)</t>
        </is>
      </c>
      <c r="I3" s="2" t="inlineStr">
        <is>
          <t>Payload (KB)</t>
        </is>
      </c>
      <c r="J3" s="2" t="inlineStr">
        <is>
          <t>Status Transaksi</t>
        </is>
      </c>
      <c r="K3" s="2" t="inlineStr">
        <is>
          <t>Error / Exception Log</t>
        </is>
      </c>
    </row>
    <row r="4">
      <c r="A4" s="3" t="inlineStr">
        <is>
          <t>1</t>
        </is>
      </c>
      <c r="B4" s="3" t="inlineStr">
        <is>
          <t>TRX-20260301-0001</t>
        </is>
      </c>
      <c r="C4" s="3" t="inlineStr">
        <is>
          <t>2026-03-01 08:00:15</t>
        </is>
      </c>
      <c r="D4" s="4" t="inlineStr">
        <is>
          <t>BKPSDM / SIMPEG</t>
        </is>
      </c>
      <c r="E4" s="4" t="inlineStr">
        <is>
          <t>/api/v1/siasn/pegawai/198504122010011005</t>
        </is>
      </c>
      <c r="F4" s="3" t="inlineStr">
        <is>
          <t>GET</t>
        </is>
      </c>
      <c r="G4" s="3" t="n">
        <v>200</v>
      </c>
      <c r="H4" s="3" t="n">
        <v>145</v>
      </c>
      <c r="I4" s="3" t="n">
        <v>12.4</v>
      </c>
      <c r="J4" s="3" t="inlineStr">
        <is>
          <t>SUCCESS</t>
        </is>
      </c>
      <c r="K4" s="4" t="inlineStr">
        <is>
          <t>-</t>
        </is>
      </c>
    </row>
    <row r="5">
      <c r="A5" s="5" t="inlineStr">
        <is>
          <t>2</t>
        </is>
      </c>
      <c r="B5" s="5" t="inlineStr">
        <is>
          <t>TRX-20260301-0002</t>
        </is>
      </c>
      <c r="C5" s="5" t="inlineStr">
        <is>
          <t>2026-03-01 08:01:22</t>
        </is>
      </c>
      <c r="D5" s="6" t="inlineStr">
        <is>
          <t>Dinkes / Presensi</t>
        </is>
      </c>
      <c r="E5" s="6" t="inlineStr">
        <is>
          <t>/api/v1/presensi/batch-sync</t>
        </is>
      </c>
      <c r="F5" s="5" t="inlineStr">
        <is>
          <t>POST</t>
        </is>
      </c>
      <c r="G5" s="5" t="n">
        <v>200</v>
      </c>
      <c r="H5" s="5" t="n">
        <v>210</v>
      </c>
      <c r="I5" s="5" t="n">
        <v>48.6</v>
      </c>
      <c r="J5" s="5" t="inlineStr">
        <is>
          <t>SUCCESS</t>
        </is>
      </c>
      <c r="K5" s="6" t="inlineStr">
        <is>
          <t>-</t>
        </is>
      </c>
    </row>
    <row r="6">
      <c r="A6" s="3" t="inlineStr">
        <is>
          <t>3</t>
        </is>
      </c>
      <c r="B6" s="3" t="inlineStr">
        <is>
          <t>TRX-20260301-0003</t>
        </is>
      </c>
      <c r="C6" s="3" t="inlineStr">
        <is>
          <t>2026-03-01 08:03:45</t>
        </is>
      </c>
      <c r="D6" s="4" t="inlineStr">
        <is>
          <t>BPKAD / SIPD</t>
        </is>
      </c>
      <c r="E6" s="4" t="inlineStr">
        <is>
          <t>/api/v1/sipd/sp2d-sync</t>
        </is>
      </c>
      <c r="F6" s="3" t="inlineStr">
        <is>
          <t>POST</t>
        </is>
      </c>
      <c r="G6" s="3" t="n">
        <v>200</v>
      </c>
      <c r="H6" s="3" t="n">
        <v>115</v>
      </c>
      <c r="I6" s="3" t="n">
        <v>8.199999999999999</v>
      </c>
      <c r="J6" s="3" t="inlineStr">
        <is>
          <t>SUCCESS</t>
        </is>
      </c>
      <c r="K6" s="4" t="inlineStr">
        <is>
          <t>-</t>
        </is>
      </c>
    </row>
    <row r="7">
      <c r="A7" s="5" t="inlineStr">
        <is>
          <t>4</t>
        </is>
      </c>
      <c r="B7" s="5" t="inlineStr">
        <is>
          <t>TRX-20260301-0004</t>
        </is>
      </c>
      <c r="C7" s="5" t="inlineStr">
        <is>
          <t>2026-03-01 08:05:10</t>
        </is>
      </c>
      <c r="D7" s="6" t="inlineStr">
        <is>
          <t>Setda / e-Office</t>
        </is>
      </c>
      <c r="E7" s="6" t="inlineStr">
        <is>
          <t>/api/v1/srikandi/kirim-naskah</t>
        </is>
      </c>
      <c r="F7" s="5" t="inlineStr">
        <is>
          <t>POST</t>
        </is>
      </c>
      <c r="G7" s="5" t="n">
        <v>200</v>
      </c>
      <c r="H7" s="5" t="n">
        <v>195</v>
      </c>
      <c r="I7" s="5" t="n">
        <v>340.5</v>
      </c>
      <c r="J7" s="5" t="inlineStr">
        <is>
          <t>SUCCESS</t>
        </is>
      </c>
      <c r="K7" s="6" t="inlineStr">
        <is>
          <t>-</t>
        </is>
      </c>
    </row>
    <row r="8">
      <c r="A8" s="3" t="inlineStr">
        <is>
          <t>5</t>
        </is>
      </c>
      <c r="B8" s="3" t="inlineStr">
        <is>
          <t>TRX-20260301-0005</t>
        </is>
      </c>
      <c r="C8" s="3" t="inlineStr">
        <is>
          <t>2026-03-01 08:07:33</t>
        </is>
      </c>
      <c r="D8" s="4" t="inlineStr">
        <is>
          <t>DPMPTSP / MPP</t>
        </is>
      </c>
      <c r="E8" s="4" t="inlineStr">
        <is>
          <t>/api/v1/auth/ikd/verify-token</t>
        </is>
      </c>
      <c r="F8" s="3" t="inlineStr">
        <is>
          <t>POST</t>
        </is>
      </c>
      <c r="G8" s="3" t="n">
        <v>200</v>
      </c>
      <c r="H8" s="3" t="n">
        <v>120</v>
      </c>
      <c r="I8" s="3" t="n">
        <v>4.1</v>
      </c>
      <c r="J8" s="3" t="inlineStr">
        <is>
          <t>SUCCESS</t>
        </is>
      </c>
      <c r="K8" s="4" t="inlineStr">
        <is>
          <t>-</t>
        </is>
      </c>
    </row>
    <row r="9">
      <c r="A9" s="5" t="inlineStr">
        <is>
          <t>6</t>
        </is>
      </c>
      <c r="B9" s="5" t="inlineStr">
        <is>
          <t>TRX-20260301-0006</t>
        </is>
      </c>
      <c r="C9" s="5" t="inlineStr">
        <is>
          <t>2026-03-01 08:10:02</t>
        </is>
      </c>
      <c r="D9" s="6" t="inlineStr">
        <is>
          <t>Bapenda / Pajak</t>
        </is>
      </c>
      <c r="E9" s="6" t="inlineStr">
        <is>
          <t>/api/v1/pajak/generate-va</t>
        </is>
      </c>
      <c r="F9" s="5" t="inlineStr">
        <is>
          <t>POST</t>
        </is>
      </c>
      <c r="G9" s="5" t="n">
        <v>200</v>
      </c>
      <c r="H9" s="5" t="n">
        <v>95</v>
      </c>
      <c r="I9" s="5" t="n">
        <v>3.8</v>
      </c>
      <c r="J9" s="5" t="inlineStr">
        <is>
          <t>SUCCESS</t>
        </is>
      </c>
      <c r="K9" s="6" t="inlineStr">
        <is>
          <t>-</t>
        </is>
      </c>
    </row>
    <row r="10">
      <c r="A10" s="3" t="inlineStr">
        <is>
          <t>7</t>
        </is>
      </c>
      <c r="B10" s="3" t="inlineStr">
        <is>
          <t>TRX-20260301-0007</t>
        </is>
      </c>
      <c r="C10" s="3" t="inlineStr">
        <is>
          <t>2026-03-01 08:12:44</t>
        </is>
      </c>
      <c r="D10" s="4" t="inlineStr">
        <is>
          <t>BKPSDM / SIMPEG</t>
        </is>
      </c>
      <c r="E10" s="4" t="inlineStr">
        <is>
          <t>/api/v1/bsre/sign-document</t>
        </is>
      </c>
      <c r="F10" s="3" t="inlineStr">
        <is>
          <t>POST</t>
        </is>
      </c>
      <c r="G10" s="3" t="n">
        <v>200</v>
      </c>
      <c r="H10" s="3" t="n">
        <v>280</v>
      </c>
      <c r="I10" s="3" t="n">
        <v>520.1</v>
      </c>
      <c r="J10" s="3" t="inlineStr">
        <is>
          <t>SUCCESS</t>
        </is>
      </c>
      <c r="K10" s="4" t="inlineStr">
        <is>
          <t>-</t>
        </is>
      </c>
    </row>
    <row r="11">
      <c r="A11" s="5" t="inlineStr">
        <is>
          <t>8</t>
        </is>
      </c>
      <c r="B11" s="5" t="inlineStr">
        <is>
          <t>TRX-20260301-0008</t>
        </is>
      </c>
      <c r="C11" s="5" t="inlineStr">
        <is>
          <t>2026-03-01 08:15:19</t>
        </is>
      </c>
      <c r="D11" s="6" t="inlineStr">
        <is>
          <t>Disdik / Guru</t>
        </is>
      </c>
      <c r="E11" s="6" t="inlineStr">
        <is>
          <t>/api/v1/siasn/pegawai/199002152014022003</t>
        </is>
      </c>
      <c r="F11" s="5" t="inlineStr">
        <is>
          <t>GET</t>
        </is>
      </c>
      <c r="G11" s="5" t="n">
        <v>200</v>
      </c>
      <c r="H11" s="5" t="n">
        <v>150</v>
      </c>
      <c r="I11" s="5" t="n">
        <v>11.8</v>
      </c>
      <c r="J11" s="5" t="inlineStr">
        <is>
          <t>SUCCESS</t>
        </is>
      </c>
      <c r="K11" s="6" t="inlineStr">
        <is>
          <t>-</t>
        </is>
      </c>
    </row>
    <row r="12">
      <c r="A12" s="7" t="inlineStr">
        <is>
          <t>9</t>
        </is>
      </c>
      <c r="B12" s="7" t="inlineStr">
        <is>
          <t>TRX-20260301-0009</t>
        </is>
      </c>
      <c r="C12" s="7" t="inlineStr">
        <is>
          <t>2026-03-01 08:18:50</t>
        </is>
      </c>
      <c r="D12" s="8" t="inlineStr">
        <is>
          <t>External Client</t>
        </is>
      </c>
      <c r="E12" s="8" t="inlineStr">
        <is>
          <t>/api/v1/siasn/pegawai/unknown</t>
        </is>
      </c>
      <c r="F12" s="7" t="inlineStr">
        <is>
          <t>GET</t>
        </is>
      </c>
      <c r="G12" s="7" t="n">
        <v>401</v>
      </c>
      <c r="H12" s="7" t="n">
        <v>45</v>
      </c>
      <c r="I12" s="7" t="n">
        <v>1.2</v>
      </c>
      <c r="J12" s="7" t="inlineStr">
        <is>
          <t>ERROR</t>
        </is>
      </c>
      <c r="K12" s="8" t="inlineStr">
        <is>
          <t>Invalid Bearer Token Authorization</t>
        </is>
      </c>
    </row>
    <row r="13">
      <c r="A13" s="5" t="inlineStr">
        <is>
          <t>10</t>
        </is>
      </c>
      <c r="B13" s="5" t="inlineStr">
        <is>
          <t>TRX-20260301-0010</t>
        </is>
      </c>
      <c r="C13" s="5" t="inlineStr">
        <is>
          <t>2026-03-01 08:22:15</t>
        </is>
      </c>
      <c r="D13" s="6" t="inlineStr">
        <is>
          <t>BPKAD / SIPD</t>
        </is>
      </c>
      <c r="E13" s="6" t="inlineStr">
        <is>
          <t>/api/v1/sipd/sp2d-sync</t>
        </is>
      </c>
      <c r="F13" s="5" t="inlineStr">
        <is>
          <t>POST</t>
        </is>
      </c>
      <c r="G13" s="5" t="n">
        <v>200</v>
      </c>
      <c r="H13" s="5" t="n">
        <v>110</v>
      </c>
      <c r="I13" s="5" t="n">
        <v>7.9</v>
      </c>
      <c r="J13" s="5" t="inlineStr">
        <is>
          <t>SUCCESS</t>
        </is>
      </c>
      <c r="K13" s="6" t="inlineStr">
        <is>
          <t>-</t>
        </is>
      </c>
    </row>
    <row r="14">
      <c r="A14" s="3" t="inlineStr">
        <is>
          <t>11</t>
        </is>
      </c>
      <c r="B14" s="3" t="inlineStr">
        <is>
          <t>TRX-20260301-0011</t>
        </is>
      </c>
      <c r="C14" s="3" t="inlineStr">
        <is>
          <t>2026-03-01 08:25:40</t>
        </is>
      </c>
      <c r="D14" s="4" t="inlineStr">
        <is>
          <t>Diskominfo / Portal</t>
        </is>
      </c>
      <c r="E14" s="4" t="inlineStr">
        <is>
          <t>/api/v1/srikandi/kirim-naskah</t>
        </is>
      </c>
      <c r="F14" s="3" t="inlineStr">
        <is>
          <t>POST</t>
        </is>
      </c>
      <c r="G14" s="3" t="n">
        <v>200</v>
      </c>
      <c r="H14" s="3" t="n">
        <v>205</v>
      </c>
      <c r="I14" s="3" t="n">
        <v>290.4</v>
      </c>
      <c r="J14" s="3" t="inlineStr">
        <is>
          <t>SUCCESS</t>
        </is>
      </c>
      <c r="K14" s="4" t="inlineStr">
        <is>
          <t>-</t>
        </is>
      </c>
    </row>
    <row r="15">
      <c r="A15" s="5" t="inlineStr">
        <is>
          <t>12</t>
        </is>
      </c>
      <c r="B15" s="5" t="inlineStr">
        <is>
          <t>TRX-20260301-0012</t>
        </is>
      </c>
      <c r="C15" s="5" t="inlineStr">
        <is>
          <t>2026-03-01 08:28:11</t>
        </is>
      </c>
      <c r="D15" s="6" t="inlineStr">
        <is>
          <t>DPMPTSP / Izin</t>
        </is>
      </c>
      <c r="E15" s="6" t="inlineStr">
        <is>
          <t>/api/v1/bsre/sign-document</t>
        </is>
      </c>
      <c r="F15" s="5" t="inlineStr">
        <is>
          <t>POST</t>
        </is>
      </c>
      <c r="G15" s="5" t="n">
        <v>200</v>
      </c>
      <c r="H15" s="5" t="n">
        <v>310</v>
      </c>
      <c r="I15" s="5" t="n">
        <v>480</v>
      </c>
      <c r="J15" s="5" t="inlineStr">
        <is>
          <t>SUCCESS</t>
        </is>
      </c>
      <c r="K15" s="6" t="inlineStr">
        <is>
          <t>-</t>
        </is>
      </c>
    </row>
    <row r="16">
      <c r="A16" s="3" t="inlineStr">
        <is>
          <t>13</t>
        </is>
      </c>
      <c r="B16" s="3" t="inlineStr">
        <is>
          <t>TRX-20260301-0013</t>
        </is>
      </c>
      <c r="C16" s="3" t="inlineStr">
        <is>
          <t>2026-03-01 08:30:25</t>
        </is>
      </c>
      <c r="D16" s="4" t="inlineStr">
        <is>
          <t>Bapenda / Pajak</t>
        </is>
      </c>
      <c r="E16" s="4" t="inlineStr">
        <is>
          <t>/api/v1/pajak/generate-va</t>
        </is>
      </c>
      <c r="F16" s="3" t="inlineStr">
        <is>
          <t>POST</t>
        </is>
      </c>
      <c r="G16" s="3" t="n">
        <v>200</v>
      </c>
      <c r="H16" s="3" t="n">
        <v>102</v>
      </c>
      <c r="I16" s="3" t="n">
        <v>3.5</v>
      </c>
      <c r="J16" s="3" t="inlineStr">
        <is>
          <t>SUCCESS</t>
        </is>
      </c>
      <c r="K16" s="4" t="inlineStr">
        <is>
          <t>-</t>
        </is>
      </c>
    </row>
    <row r="17">
      <c r="A17" s="5" t="inlineStr">
        <is>
          <t>14</t>
        </is>
      </c>
      <c r="B17" s="5" t="inlineStr">
        <is>
          <t>TRX-20260301-0014</t>
        </is>
      </c>
      <c r="C17" s="5" t="inlineStr">
        <is>
          <t>2026-03-01 08:35:00</t>
        </is>
      </c>
      <c r="D17" s="6" t="inlineStr">
        <is>
          <t>BKPSDM / SIMPEG</t>
        </is>
      </c>
      <c r="E17" s="6" t="inlineStr">
        <is>
          <t>/api/v1/siasn/kenaikan-pangkat</t>
        </is>
      </c>
      <c r="F17" s="5" t="inlineStr">
        <is>
          <t>POST</t>
        </is>
      </c>
      <c r="G17" s="5" t="n">
        <v>200</v>
      </c>
      <c r="H17" s="5" t="n">
        <v>220</v>
      </c>
      <c r="I17" s="5" t="n">
        <v>68.40000000000001</v>
      </c>
      <c r="J17" s="5" t="inlineStr">
        <is>
          <t>SUCCESS</t>
        </is>
      </c>
      <c r="K17" s="6" t="inlineStr">
        <is>
          <t>-</t>
        </is>
      </c>
    </row>
    <row r="18">
      <c r="A18" s="3" t="inlineStr">
        <is>
          <t>15</t>
        </is>
      </c>
      <c r="B18" s="3" t="inlineStr">
        <is>
          <t>TRX-20260301-0015</t>
        </is>
      </c>
      <c r="C18" s="3" t="inlineStr">
        <is>
          <t>2026-03-01 08:40:12</t>
        </is>
      </c>
      <c r="D18" s="4" t="inlineStr">
        <is>
          <t>Dinkes / RSUD</t>
        </is>
      </c>
      <c r="E18" s="4" t="inlineStr">
        <is>
          <t>/api/v1/satusehat/encounter</t>
        </is>
      </c>
      <c r="F18" s="3" t="inlineStr">
        <is>
          <t>POST</t>
        </is>
      </c>
      <c r="G18" s="3" t="n">
        <v>200</v>
      </c>
      <c r="H18" s="3" t="n">
        <v>250</v>
      </c>
      <c r="I18" s="3" t="n">
        <v>25.4</v>
      </c>
      <c r="J18" s="3" t="inlineStr">
        <is>
          <t>SUCCESS</t>
        </is>
      </c>
      <c r="K18" s="4" t="inlineStr">
        <is>
          <t>-</t>
        </is>
      </c>
    </row>
    <row r="19">
      <c r="A19" s="7" t="inlineStr">
        <is>
          <t>16</t>
        </is>
      </c>
      <c r="B19" s="7" t="inlineStr">
        <is>
          <t>TRX-20260301-0016</t>
        </is>
      </c>
      <c r="C19" s="7" t="inlineStr">
        <is>
          <t>2026-03-01 08:45:50</t>
        </is>
      </c>
      <c r="D19" s="8" t="inlineStr">
        <is>
          <t>External Spammer</t>
        </is>
      </c>
      <c r="E19" s="8" t="inlineStr">
        <is>
          <t>/api/v1/pajak/generate-va</t>
        </is>
      </c>
      <c r="F19" s="7" t="inlineStr">
        <is>
          <t>POST</t>
        </is>
      </c>
      <c r="G19" s="7" t="n">
        <v>429</v>
      </c>
      <c r="H19" s="7" t="n">
        <v>30</v>
      </c>
      <c r="I19" s="7" t="n">
        <v>0.8</v>
      </c>
      <c r="J19" s="7" t="inlineStr">
        <is>
          <t>ERROR</t>
        </is>
      </c>
      <c r="K19" s="8" t="inlineStr">
        <is>
          <t>Rate Limit Exceeded (1000 req/min)</t>
        </is>
      </c>
    </row>
    <row r="20">
      <c r="A20" s="3" t="inlineStr">
        <is>
          <t>17</t>
        </is>
      </c>
      <c r="B20" s="3" t="inlineStr">
        <is>
          <t>TRX-20260301-0017</t>
        </is>
      </c>
      <c r="C20" s="3" t="inlineStr">
        <is>
          <t>2026-03-01 08:50:30</t>
        </is>
      </c>
      <c r="D20" s="4" t="inlineStr">
        <is>
          <t>Setda / Protokol</t>
        </is>
      </c>
      <c r="E20" s="4" t="inlineStr">
        <is>
          <t>/api/v1/srikandi/kirim-naskah</t>
        </is>
      </c>
      <c r="F20" s="3" t="inlineStr">
        <is>
          <t>POST</t>
        </is>
      </c>
      <c r="G20" s="3" t="n">
        <v>200</v>
      </c>
      <c r="H20" s="3" t="n">
        <v>190</v>
      </c>
      <c r="I20" s="3" t="n">
        <v>185</v>
      </c>
      <c r="J20" s="3" t="inlineStr">
        <is>
          <t>SUCCESS</t>
        </is>
      </c>
      <c r="K20" s="4" t="inlineStr">
        <is>
          <t>-</t>
        </is>
      </c>
    </row>
    <row r="21">
      <c r="A21" s="5" t="inlineStr">
        <is>
          <t>18</t>
        </is>
      </c>
      <c r="B21" s="5" t="inlineStr">
        <is>
          <t>TRX-20260301-0018</t>
        </is>
      </c>
      <c r="C21" s="5" t="inlineStr">
        <is>
          <t>2026-03-01 08:55:18</t>
        </is>
      </c>
      <c r="D21" s="6" t="inlineStr">
        <is>
          <t>DPMPTSP / MPP</t>
        </is>
      </c>
      <c r="E21" s="6" t="inlineStr">
        <is>
          <t>/api/v1/auth/ikd/verify-token</t>
        </is>
      </c>
      <c r="F21" s="5" t="inlineStr">
        <is>
          <t>POST</t>
        </is>
      </c>
      <c r="G21" s="5" t="n">
        <v>200</v>
      </c>
      <c r="H21" s="5" t="n">
        <v>118</v>
      </c>
      <c r="I21" s="5" t="n">
        <v>4</v>
      </c>
      <c r="J21" s="5" t="inlineStr">
        <is>
          <t>SUCCESS</t>
        </is>
      </c>
      <c r="K21" s="6" t="inlineStr">
        <is>
          <t>-</t>
        </is>
      </c>
    </row>
    <row r="22">
      <c r="A22" s="3" t="inlineStr">
        <is>
          <t>19</t>
        </is>
      </c>
      <c r="B22" s="3" t="inlineStr">
        <is>
          <t>TRX-20260301-0019</t>
        </is>
      </c>
      <c r="C22" s="3" t="inlineStr">
        <is>
          <t>2026-03-01 09:00:05</t>
        </is>
      </c>
      <c r="D22" s="4" t="inlineStr">
        <is>
          <t>BPKAD / Kasda</t>
        </is>
      </c>
      <c r="E22" s="4" t="inlineStr">
        <is>
          <t>/api/v1/sipd/sp2d-sync</t>
        </is>
      </c>
      <c r="F22" s="3" t="inlineStr">
        <is>
          <t>POST</t>
        </is>
      </c>
      <c r="G22" s="3" t="n">
        <v>200</v>
      </c>
      <c r="H22" s="3" t="n">
        <v>108</v>
      </c>
      <c r="I22" s="3" t="n">
        <v>9.1</v>
      </c>
      <c r="J22" s="3" t="inlineStr">
        <is>
          <t>SUCCESS</t>
        </is>
      </c>
      <c r="K22" s="4" t="inlineStr">
        <is>
          <t>-</t>
        </is>
      </c>
    </row>
    <row r="23">
      <c r="A23" s="5" t="inlineStr">
        <is>
          <t>20</t>
        </is>
      </c>
      <c r="B23" s="5" t="inlineStr">
        <is>
          <t>TRX-20260301-0020</t>
        </is>
      </c>
      <c r="C23" s="5" t="inlineStr">
        <is>
          <t>2026-03-01 09:05:40</t>
        </is>
      </c>
      <c r="D23" s="6" t="inlineStr">
        <is>
          <t>BKPSDM / SIMPEG</t>
        </is>
      </c>
      <c r="E23" s="6" t="inlineStr">
        <is>
          <t>/api/v1/siasn/pegawai/198207102008011002</t>
        </is>
      </c>
      <c r="F23" s="5" t="inlineStr">
        <is>
          <t>GET</t>
        </is>
      </c>
      <c r="G23" s="5" t="n">
        <v>200</v>
      </c>
      <c r="H23" s="5" t="n">
        <v>140</v>
      </c>
      <c r="I23" s="5" t="n">
        <v>12</v>
      </c>
      <c r="J23" s="5" t="inlineStr">
        <is>
          <t>SUCCESS</t>
        </is>
      </c>
      <c r="K23" s="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2" customWidth="1" min="2" max="2"/>
    <col width="22" customWidth="1" min="3" max="3"/>
    <col width="19" customWidth="1" min="4" max="4"/>
    <col width="18" customWidth="1" min="5" max="5"/>
    <col width="29" customWidth="1" min="6" max="6"/>
    <col width="29" customWidth="1" min="7" max="7"/>
    <col width="29" customWidth="1" min="8" max="8"/>
    <col width="21" customWidth="1" min="9" max="9"/>
    <col width="23" customWidth="1" min="10" max="10"/>
  </cols>
  <sheetData>
    <row r="1">
      <c r="A1" s="1" t="inlineStr">
        <is>
          <t>DASHBOARD SERVICE LEVEL AGREEMENT (SLA) DAN PEMANTAUAN UPTIME PERFORMA API</t>
        </is>
      </c>
    </row>
    <row r="2"/>
    <row r="3">
      <c r="A3" s="9" t="inlineStr">
        <is>
          <t>No</t>
        </is>
      </c>
      <c r="B3" s="9" t="inlineStr">
        <is>
          <t>Endpoint Integrasi</t>
        </is>
      </c>
      <c r="C3" s="9" t="inlineStr">
        <is>
          <t>Total Hit Terdaftar</t>
        </is>
      </c>
      <c r="D3" s="9" t="inlineStr">
        <is>
          <t>Transaksi Sukses</t>
        </is>
      </c>
      <c r="E3" s="9" t="inlineStr">
        <is>
          <t>Transaksi Error</t>
        </is>
      </c>
      <c r="F3" s="9" t="inlineStr">
        <is>
          <t>Success Rate (%)</t>
        </is>
      </c>
      <c r="G3" s="9" t="inlineStr">
        <is>
          <t>Rata-rata Latensi (ms)</t>
        </is>
      </c>
      <c r="H3" s="9" t="inlineStr">
        <is>
          <t>SLA Uptime (%)</t>
        </is>
      </c>
      <c r="I3" s="9" t="inlineStr">
        <is>
          <t>Target Minimum SLA</t>
        </is>
      </c>
      <c r="J3" s="9" t="inlineStr">
        <is>
          <t>Status Kepatuhan SLA</t>
        </is>
      </c>
    </row>
    <row r="4">
      <c r="A4" s="3" t="inlineStr">
        <is>
          <t>1</t>
        </is>
      </c>
      <c r="B4" s="4" t="inlineStr">
        <is>
          <t>/api/v1/siasn/pegawai</t>
        </is>
      </c>
      <c r="C4" s="3" t="n">
        <v>4</v>
      </c>
      <c r="D4" s="3" t="n">
        <v>3</v>
      </c>
      <c r="E4" s="3" t="n">
        <v>1</v>
      </c>
      <c r="F4" s="3">
        <f>ROUND((D4/C4)*100, 2)</f>
        <v/>
      </c>
      <c r="G4" s="3" t="n">
        <v>145</v>
      </c>
      <c r="H4" s="3" t="n">
        <v>99.92</v>
      </c>
      <c r="I4" s="3" t="n">
        <v>99.5</v>
      </c>
      <c r="J4" s="3" t="inlineStr">
        <is>
          <t>MEMENUHI TARGET SLA</t>
        </is>
      </c>
    </row>
    <row r="5">
      <c r="A5" s="5" t="inlineStr">
        <is>
          <t>2</t>
        </is>
      </c>
      <c r="B5" s="6" t="inlineStr">
        <is>
          <t>/api/v1/sipd/sp2d-sync</t>
        </is>
      </c>
      <c r="C5" s="5" t="n">
        <v>3</v>
      </c>
      <c r="D5" s="5" t="n">
        <v>3</v>
      </c>
      <c r="E5" s="5" t="n">
        <v>0</v>
      </c>
      <c r="F5" s="5">
        <f>ROUND((D5/C5)*100, 2)</f>
        <v/>
      </c>
      <c r="G5" s="5" t="n">
        <v>111</v>
      </c>
      <c r="H5" s="5" t="n">
        <v>99.98</v>
      </c>
      <c r="I5" s="5" t="n">
        <v>99.5</v>
      </c>
      <c r="J5" s="5" t="inlineStr">
        <is>
          <t>MEMENUHI TARGET SLA</t>
        </is>
      </c>
    </row>
    <row r="6">
      <c r="A6" s="3" t="inlineStr">
        <is>
          <t>3</t>
        </is>
      </c>
      <c r="B6" s="4" t="inlineStr">
        <is>
          <t>/api/v1/srikandi/kirim-naskah</t>
        </is>
      </c>
      <c r="C6" s="3" t="n">
        <v>3</v>
      </c>
      <c r="D6" s="3" t="n">
        <v>3</v>
      </c>
      <c r="E6" s="3" t="n">
        <v>0</v>
      </c>
      <c r="F6" s="3">
        <f>ROUND((D6/C6)*100, 2)</f>
        <v/>
      </c>
      <c r="G6" s="3" t="n">
        <v>196</v>
      </c>
      <c r="H6" s="3" t="n">
        <v>99.84999999999999</v>
      </c>
      <c r="I6" s="3" t="n">
        <v>99.5</v>
      </c>
      <c r="J6" s="3" t="inlineStr">
        <is>
          <t>MEMENUHI TARGET SLA</t>
        </is>
      </c>
    </row>
    <row r="7">
      <c r="A7" s="5" t="inlineStr">
        <is>
          <t>4</t>
        </is>
      </c>
      <c r="B7" s="6" t="inlineStr">
        <is>
          <t>/api/v1/bsre/sign-document</t>
        </is>
      </c>
      <c r="C7" s="5" t="n">
        <v>2</v>
      </c>
      <c r="D7" s="5" t="n">
        <v>2</v>
      </c>
      <c r="E7" s="5" t="n">
        <v>0</v>
      </c>
      <c r="F7" s="5">
        <f>ROUND((D7/C7)*100, 2)</f>
        <v/>
      </c>
      <c r="G7" s="5" t="n">
        <v>295</v>
      </c>
      <c r="H7" s="5" t="n">
        <v>99.90000000000001</v>
      </c>
      <c r="I7" s="5" t="n">
        <v>99.5</v>
      </c>
      <c r="J7" s="5" t="inlineStr">
        <is>
          <t>MEMENUHI TARGET SLA</t>
        </is>
      </c>
    </row>
    <row r="8">
      <c r="A8" s="3" t="inlineStr">
        <is>
          <t>5</t>
        </is>
      </c>
      <c r="B8" s="4" t="inlineStr">
        <is>
          <t>/api/v1/auth/ikd/verify-token</t>
        </is>
      </c>
      <c r="C8" s="3" t="n">
        <v>2</v>
      </c>
      <c r="D8" s="3" t="n">
        <v>2</v>
      </c>
      <c r="E8" s="3" t="n">
        <v>0</v>
      </c>
      <c r="F8" s="3">
        <f>ROUND((D8/C8)*100, 2)</f>
        <v/>
      </c>
      <c r="G8" s="3" t="n">
        <v>119</v>
      </c>
      <c r="H8" s="3" t="n">
        <v>99.95</v>
      </c>
      <c r="I8" s="3" t="n">
        <v>99.5</v>
      </c>
      <c r="J8" s="3" t="inlineStr">
        <is>
          <t>MEMENUHI TARGET SLA</t>
        </is>
      </c>
    </row>
    <row r="9">
      <c r="A9" s="5" t="inlineStr">
        <is>
          <t>6</t>
        </is>
      </c>
      <c r="B9" s="6" t="inlineStr">
        <is>
          <t>/api/v1/pajak/generate-va</t>
        </is>
      </c>
      <c r="C9" s="5" t="n">
        <v>3</v>
      </c>
      <c r="D9" s="5" t="n">
        <v>2</v>
      </c>
      <c r="E9" s="5" t="n">
        <v>1</v>
      </c>
      <c r="F9" s="5">
        <f>ROUND((D9/C9)*100, 2)</f>
        <v/>
      </c>
      <c r="G9" s="5" t="n">
        <v>98</v>
      </c>
      <c r="H9" s="5" t="n">
        <v>99.8</v>
      </c>
      <c r="I9" s="5" t="n">
        <v>99.5</v>
      </c>
      <c r="J9" s="5" t="inlineStr">
        <is>
          <t>MEMENUHI TARGET SLA</t>
        </is>
      </c>
    </row>
    <row r="10">
      <c r="A10" s="3" t="inlineStr">
        <is>
          <t>7</t>
        </is>
      </c>
      <c r="B10" s="4" t="inlineStr">
        <is>
          <t>/api/v1/presensi/batch-sync</t>
        </is>
      </c>
      <c r="C10" s="3" t="n">
        <v>1</v>
      </c>
      <c r="D10" s="3" t="n">
        <v>1</v>
      </c>
      <c r="E10" s="3" t="n">
        <v>0</v>
      </c>
      <c r="F10" s="3">
        <f>ROUND((D10/C10)*100, 2)</f>
        <v/>
      </c>
      <c r="G10" s="3" t="n">
        <v>210</v>
      </c>
      <c r="H10" s="3" t="n">
        <v>99.88</v>
      </c>
      <c r="I10" s="3" t="n">
        <v>99.5</v>
      </c>
      <c r="J10" s="3" t="inlineStr">
        <is>
          <t>MEMENUHI TARGET SLA</t>
        </is>
      </c>
    </row>
    <row r="11">
      <c r="A11" s="10" t="n"/>
      <c r="B11" s="11" t="inlineStr">
        <is>
          <t>TOTAL &amp; RATA-RATA EKOSISTEM</t>
        </is>
      </c>
      <c r="C11" s="11">
        <f>SUM(C4:C10)</f>
        <v/>
      </c>
      <c r="D11" s="11">
        <f>SUM(D4:D10)</f>
        <v/>
      </c>
      <c r="E11" s="11">
        <f>SUM(E4:E10)</f>
        <v/>
      </c>
      <c r="F11" s="11">
        <f>ROUND(AVERAGE(F4:F10), 2)</f>
        <v/>
      </c>
      <c r="G11" s="11">
        <f>ROUND(AVERAGE(G4:G10), 1)</f>
        <v/>
      </c>
      <c r="H11" s="11">
        <f>ROUND(AVERAGE(H4:H10), 2)</f>
        <v/>
      </c>
      <c r="I11" s="11" t="inlineStr">
        <is>
          <t>99.50%</t>
        </is>
      </c>
      <c r="J11" s="12" t="inlineStr">
        <is>
          <t>PRIMA / 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52" customWidth="1" min="2" max="2"/>
    <col width="34" customWidth="1" min="3" max="3"/>
    <col width="34" customWidth="1" min="4" max="4"/>
    <col width="38" customWidth="1" min="5" max="5"/>
    <col width="30" customWidth="1" min="6" max="6"/>
    <col width="28" customWidth="1" min="7" max="7"/>
    <col width="38" customWidth="1" min="8" max="8"/>
    <col width="30" customWidth="1" min="9" max="9"/>
  </cols>
  <sheetData>
    <row r="1">
      <c r="A1" s="1" t="inlineStr">
        <is>
          <t>KUANTIFIKASI PENGHEMATAN JAM KERJA &amp; PENCAPAIAN ZERO DATA DUPLICATION</t>
        </is>
      </c>
    </row>
    <row r="2"/>
    <row r="3">
      <c r="A3" s="2" t="inlineStr">
        <is>
          <t>No</t>
        </is>
      </c>
      <c r="B3" s="2" t="inlineStr">
        <is>
          <t>Proses Administrasi / Layanan</t>
        </is>
      </c>
      <c r="C3" s="2" t="inlineStr">
        <is>
          <t>Waktu Sebelum Integrasi (Menit)</t>
        </is>
      </c>
      <c r="D3" s="2" t="inlineStr">
        <is>
          <t>Waktu Sesudah Integrasi (Menit)</t>
        </is>
      </c>
      <c r="E3" s="2" t="inlineStr">
        <is>
          <t>Selisih Dihemat / Transaksi (Menit)</t>
        </is>
      </c>
      <c r="F3" s="2" t="inlineStr">
        <is>
          <t>Frekuensi Transaksi / Bulan</t>
        </is>
      </c>
      <c r="G3" s="2" t="inlineStr">
        <is>
          <t>Total Jam Dihemat / Bulan</t>
        </is>
      </c>
      <c r="H3" s="2" t="inlineStr">
        <is>
          <t>Estimasi Nilai Efisiensi (Rp/Bulan)</t>
        </is>
      </c>
      <c r="I3" s="2" t="inlineStr">
        <is>
          <t>Unit Kerja Penerima Manfaat</t>
        </is>
      </c>
    </row>
    <row r="4">
      <c r="A4" s="3" t="inlineStr">
        <is>
          <t>1</t>
        </is>
      </c>
      <c r="B4" s="4" t="inlineStr">
        <is>
          <t>Sinkronisasi SK Kenaikan Pangkat ASN ke SIASN BKN</t>
        </is>
      </c>
      <c r="C4" s="3" t="n">
        <v>45</v>
      </c>
      <c r="D4" s="3" t="n">
        <v>1</v>
      </c>
      <c r="E4" s="3">
        <f>C4-D4</f>
        <v/>
      </c>
      <c r="F4" s="3" t="n">
        <v>450</v>
      </c>
      <c r="G4" s="3">
        <f>ROUND((E4*F4)/60, 1)</f>
        <v/>
      </c>
      <c r="H4" s="3">
        <f>G4*65000</f>
        <v/>
      </c>
      <c r="I4" s="4" t="inlineStr">
        <is>
          <t>BKPSDM &amp; Seluruh OPD</t>
        </is>
      </c>
    </row>
    <row r="5">
      <c r="A5" s="5" t="inlineStr">
        <is>
          <t>2</t>
        </is>
      </c>
      <c r="B5" s="6" t="inlineStr">
        <is>
          <t>Penerbitan &amp; Pencairan SP2D Online ke Kas Daerah</t>
        </is>
      </c>
      <c r="C5" s="5" t="n">
        <v>1440</v>
      </c>
      <c r="D5" s="5" t="n">
        <v>15</v>
      </c>
      <c r="E5" s="5">
        <f>C5-D5</f>
        <v/>
      </c>
      <c r="F5" s="5" t="n">
        <v>850</v>
      </c>
      <c r="G5" s="5">
        <f>ROUND((E5*F5)/60, 1)</f>
        <v/>
      </c>
      <c r="H5" s="5">
        <f>G5*65000</f>
        <v/>
      </c>
      <c r="I5" s="6" t="inlineStr">
        <is>
          <t>BPKAD &amp; Bank Daerah</t>
        </is>
      </c>
    </row>
    <row r="6">
      <c r="A6" s="3" t="inlineStr">
        <is>
          <t>3</t>
        </is>
      </c>
      <c r="B6" s="4" t="inlineStr">
        <is>
          <t>Pengiriman Surat Dinas Antarinstansi via SRIKANDI</t>
        </is>
      </c>
      <c r="C6" s="3" t="n">
        <v>240</v>
      </c>
      <c r="D6" s="3" t="n">
        <v>2</v>
      </c>
      <c r="E6" s="3">
        <f>C6-D6</f>
        <v/>
      </c>
      <c r="F6" s="3" t="n">
        <v>3200</v>
      </c>
      <c r="G6" s="3">
        <f>ROUND((E6*F6)/60, 1)</f>
        <v/>
      </c>
      <c r="H6" s="3">
        <f>G6*65000</f>
        <v/>
      </c>
      <c r="I6" s="4" t="inlineStr">
        <is>
          <t>Seluruh OPD &amp; Kecamatan</t>
        </is>
      </c>
    </row>
    <row r="7">
      <c r="A7" s="5" t="inlineStr">
        <is>
          <t>4</t>
        </is>
      </c>
      <c r="B7" s="6" t="inlineStr">
        <is>
          <t>Penandatanganan Dokumen Sah dengan TTE BSrE</t>
        </is>
      </c>
      <c r="C7" s="5" t="n">
        <v>60</v>
      </c>
      <c r="D7" s="5" t="n">
        <v>1</v>
      </c>
      <c r="E7" s="5">
        <f>C7-D7</f>
        <v/>
      </c>
      <c r="F7" s="5" t="n">
        <v>4500</v>
      </c>
      <c r="G7" s="5">
        <f>ROUND((E7*F7)/60, 1)</f>
        <v/>
      </c>
      <c r="H7" s="5">
        <f>G7*65000</f>
        <v/>
      </c>
      <c r="I7" s="6" t="inlineStr">
        <is>
          <t>Pimpinan &amp; Tim Teknis</t>
        </is>
      </c>
    </row>
    <row r="8">
      <c r="A8" s="3" t="inlineStr">
        <is>
          <t>5</t>
        </is>
      </c>
      <c r="B8" s="4" t="inlineStr">
        <is>
          <t>Verifikasi Berkas Permohonan Izin MPP Digital</t>
        </is>
      </c>
      <c r="C8" s="3" t="n">
        <v>120</v>
      </c>
      <c r="D8" s="3" t="n">
        <v>5</v>
      </c>
      <c r="E8" s="3">
        <f>C8-D8</f>
        <v/>
      </c>
      <c r="F8" s="3" t="n">
        <v>1250</v>
      </c>
      <c r="G8" s="3">
        <f>ROUND((E8*F8)/60, 1)</f>
        <v/>
      </c>
      <c r="H8" s="3">
        <f>G8*65000</f>
        <v/>
      </c>
      <c r="I8" s="4" t="inlineStr">
        <is>
          <t>DPMPTSP &amp; Pemohon Izin</t>
        </is>
      </c>
    </row>
    <row r="9">
      <c r="A9" s="5" t="inlineStr">
        <is>
          <t>6</t>
        </is>
      </c>
      <c r="B9" s="6" t="inlineStr">
        <is>
          <t>Rekonsiliasi Pembayaran Pajak Daerah Otomatis</t>
        </is>
      </c>
      <c r="C9" s="5" t="n">
        <v>90</v>
      </c>
      <c r="D9" s="5" t="n">
        <v>1</v>
      </c>
      <c r="E9" s="5">
        <f>C9-D9</f>
        <v/>
      </c>
      <c r="F9" s="5" t="n">
        <v>2800</v>
      </c>
      <c r="G9" s="5">
        <f>ROUND((E9*F9)/60, 1)</f>
        <v/>
      </c>
      <c r="H9" s="5">
        <f>G9*65000</f>
        <v/>
      </c>
      <c r="I9" s="6" t="inlineStr">
        <is>
          <t>Bapenda Daerah</t>
        </is>
      </c>
    </row>
    <row r="10">
      <c r="A10" s="10" t="n"/>
      <c r="B10" s="11" t="inlineStr">
        <is>
          <t>TOTAL AKUMULASI PENGHEMATAN</t>
        </is>
      </c>
      <c r="C10" s="10" t="n"/>
      <c r="D10" s="10" t="n"/>
      <c r="E10" s="10" t="n"/>
      <c r="F10" s="11">
        <f>SUM(F4:F9)</f>
        <v/>
      </c>
      <c r="G10" s="11">
        <f>SUM(G4:G9)</f>
        <v/>
      </c>
      <c r="H10" s="11">
        <f>SUM(H4:H9)</f>
        <v/>
      </c>
      <c r="I10" s="12" t="inlineStr">
        <is>
          <t>BERDAMPAK SIGNIFIKAN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2026-09-07T08:49:41Z</dcterms:created>
  <dcterms:modified xmlns:dcterms="http://purl.org/dc/terms/" xmlns:xsi="http://www.w3.org/2001/XMLSchema-instance" xsi:type="dcterms:W3CDTF">2026-09-07T08:49:41Z</dcterms:modified>
</cp:coreProperties>
</file>